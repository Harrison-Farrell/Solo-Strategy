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personal\practical_theory\cpu_cache\resources\"/>
    </mc:Choice>
  </mc:AlternateContent>
  <xr:revisionPtr revIDLastSave="0" documentId="13_ncr:1_{3121D3D5-93A6-49C4-902D-FE0E06F4FB60}" xr6:coauthVersionLast="47" xr6:coauthVersionMax="47" xr10:uidLastSave="{00000000-0000-0000-0000-000000000000}"/>
  <bookViews>
    <workbookView xWindow="-60" yWindow="-21720" windowWidth="38640" windowHeight="21120" activeTab="1" xr2:uid="{E499B67C-BC19-4CD1-9931-5F7CE4D5ECCB}"/>
  </bookViews>
  <sheets>
    <sheet name="Searches" sheetId="1" r:id="rId1"/>
    <sheet name="Access Ti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R7" i="1"/>
  <c r="R8" i="1"/>
  <c r="R9" i="1"/>
  <c r="R10" i="1"/>
  <c r="R11" i="1"/>
  <c r="R12" i="1"/>
  <c r="B23" i="1"/>
  <c r="S12" i="1" s="1"/>
  <c r="B22" i="1"/>
  <c r="S11" i="1" s="1"/>
  <c r="B21" i="1"/>
  <c r="S10" i="1" s="1"/>
  <c r="B20" i="1"/>
  <c r="S9" i="1" s="1"/>
  <c r="B19" i="1"/>
  <c r="S8" i="1" s="1"/>
  <c r="B18" i="1"/>
  <c r="S7" i="1" s="1"/>
  <c r="B17" i="1"/>
  <c r="S6" i="1" s="1"/>
  <c r="B16" i="1"/>
  <c r="S5" i="1" s="1"/>
  <c r="B34" i="1"/>
  <c r="T12" i="1" s="1"/>
  <c r="B33" i="1"/>
  <c r="T11" i="1" s="1"/>
  <c r="B32" i="1"/>
  <c r="T10" i="1" s="1"/>
  <c r="B31" i="1"/>
  <c r="T9" i="1" s="1"/>
  <c r="B30" i="1"/>
  <c r="T8" i="1" s="1"/>
  <c r="B29" i="1"/>
  <c r="T7" i="1" s="1"/>
  <c r="B28" i="1"/>
  <c r="T6" i="1" s="1"/>
  <c r="B27" i="1"/>
  <c r="T5" i="1" s="1"/>
  <c r="J5" i="1"/>
  <c r="R5" i="1" s="1"/>
  <c r="J12" i="1"/>
  <c r="J11" i="1"/>
  <c r="J10" i="1"/>
  <c r="J9" i="1"/>
  <c r="J8" i="1"/>
  <c r="J7" i="1"/>
  <c r="J6" i="1"/>
  <c r="R6" i="1" s="1"/>
  <c r="B12" i="1"/>
  <c r="U12" i="1" s="1"/>
  <c r="B11" i="1"/>
  <c r="U11" i="1" s="1"/>
  <c r="B10" i="1"/>
  <c r="U10" i="1" s="1"/>
  <c r="B9" i="1"/>
  <c r="U9" i="1" s="1"/>
  <c r="B8" i="1"/>
  <c r="U8" i="1" s="1"/>
  <c r="B7" i="1"/>
  <c r="U7" i="1" s="1"/>
  <c r="B6" i="1"/>
  <c r="U6" i="1" s="1"/>
  <c r="B5" i="1"/>
  <c r="U5" i="1" s="1"/>
</calcChain>
</file>

<file path=xl/sharedStrings.xml><?xml version="1.0" encoding="utf-8"?>
<sst xmlns="http://schemas.openxmlformats.org/spreadsheetml/2006/main" count="56" uniqueCount="27">
  <si>
    <t>Size</t>
  </si>
  <si>
    <t>Time 1</t>
  </si>
  <si>
    <t>Time 2</t>
  </si>
  <si>
    <t>Time 3</t>
  </si>
  <si>
    <t>Average</t>
  </si>
  <si>
    <t>Time 4</t>
  </si>
  <si>
    <t>Time 5</t>
  </si>
  <si>
    <t>Sorted Vector Binary Search - O(log N )</t>
  </si>
  <si>
    <t>std:set find - O(log N)</t>
  </si>
  <si>
    <t>std::unorderd_set find - O(1)</t>
  </si>
  <si>
    <t xml:space="preserve"> </t>
  </si>
  <si>
    <t>Unsorted Linear Vector Search - O(N)</t>
  </si>
  <si>
    <t>Fastest to Slowest</t>
  </si>
  <si>
    <t>32K</t>
  </si>
  <si>
    <t>Random Array Access</t>
  </si>
  <si>
    <t>256K</t>
  </si>
  <si>
    <t>8MB</t>
  </si>
  <si>
    <t>128MB</t>
  </si>
  <si>
    <t>L1</t>
  </si>
  <si>
    <t>L2</t>
  </si>
  <si>
    <t>L3</t>
  </si>
  <si>
    <t>RAM</t>
  </si>
  <si>
    <t xml:space="preserve">Memory </t>
  </si>
  <si>
    <t>Hashmap</t>
  </si>
  <si>
    <t>Binary Search (set)</t>
  </si>
  <si>
    <t>Binary Search (vector)</t>
  </si>
  <si>
    <t>Linear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</si>
</sst>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164" fontId="0" fillId="6" borderId="5" xfId="0" applyNumberFormat="1" applyFill="1" applyBorder="1"/>
    <xf numFmtId="164" fontId="0" fillId="6" borderId="7" xfId="0" applyNumberFormat="1" applyFill="1" applyBorder="1"/>
    <xf numFmtId="164" fontId="0" fillId="6" borderId="8" xfId="0" applyNumberFormat="1" applyFill="1" applyBorder="1"/>
    <xf numFmtId="2" fontId="0" fillId="0" borderId="0" xfId="0" applyNumberFormat="1" applyAlignment="1">
      <alignment horizontal="left"/>
    </xf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/>
    </xf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10" borderId="6" xfId="0" applyFont="1" applyFill="1" applyBorder="1"/>
    <xf numFmtId="0" fontId="1" fillId="6" borderId="0" xfId="0" applyFont="1" applyFill="1" applyAlignment="1">
      <alignment horizontal="center"/>
    </xf>
    <xf numFmtId="164" fontId="0" fillId="6" borderId="0" xfId="0" applyNumberForma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Search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Searches!$A$3</c:f>
              <c:strCache>
                <c:ptCount val="1"/>
                <c:pt idx="0">
                  <c:v>Unsorted Linear Vector Search - O(N)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Searches!$I$5:$I$12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Searches!$B$5:$B$12</c:f>
              <c:numCache>
                <c:formatCode>General</c:formatCode>
                <c:ptCount val="8"/>
                <c:pt idx="0">
                  <c:v>8.4039800000000007</c:v>
                </c:pt>
                <c:pt idx="1">
                  <c:v>9.812424</c:v>
                </c:pt>
                <c:pt idx="2">
                  <c:v>25.360410000000002</c:v>
                </c:pt>
                <c:pt idx="3">
                  <c:v>49.677419999999998</c:v>
                </c:pt>
                <c:pt idx="4">
                  <c:v>78.944580000000002</c:v>
                </c:pt>
                <c:pt idx="5">
                  <c:v>161.36610000000002</c:v>
                </c:pt>
                <c:pt idx="6">
                  <c:v>333.5018</c:v>
                </c:pt>
                <c:pt idx="7">
                  <c:v>492.76099999999997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D-46F0-BCEF-F0B70925548E}"/>
            </c:ext>
          </c:extLst>
        </c:ser>
        <c:ser>
          <c:idx val="1"/>
          <c:order val="1"/>
          <c:tx>
            <c:strRef>
              <c:f>Searches!$A$14</c:f>
              <c:strCache>
                <c:ptCount val="1"/>
                <c:pt idx="0">
                  <c:v>Sorted Vector Binary Search - O(log N 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Searches!$I$5:$I$12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Searches!$B$16:$B$23</c:f>
              <c:numCache>
                <c:formatCode>General</c:formatCode>
                <c:ptCount val="8"/>
                <c:pt idx="0">
                  <c:v>13.261079999999998</c:v>
                </c:pt>
                <c:pt idx="1">
                  <c:v>15.185480000000002</c:v>
                </c:pt>
                <c:pt idx="2">
                  <c:v>17.720580000000002</c:v>
                </c:pt>
                <c:pt idx="3">
                  <c:v>26.592779999999998</c:v>
                </c:pt>
                <c:pt idx="4">
                  <c:v>27.129439999999999</c:v>
                </c:pt>
                <c:pt idx="5">
                  <c:v>30.032080000000001</c:v>
                </c:pt>
                <c:pt idx="6">
                  <c:v>34.328320000000005</c:v>
                </c:pt>
                <c:pt idx="7">
                  <c:v>35.497059999999998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4D-46F0-BCEF-F0B70925548E}"/>
            </c:ext>
          </c:extLst>
        </c:ser>
        <c:ser>
          <c:idx val="2"/>
          <c:order val="2"/>
          <c:tx>
            <c:strRef>
              <c:f>Searches!$A$25</c:f>
              <c:strCache>
                <c:ptCount val="1"/>
                <c:pt idx="0">
                  <c:v>std:set find - O(log N)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Searches!$I$5:$I$12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Searches!$B$27:$B$34</c:f>
              <c:numCache>
                <c:formatCode>General</c:formatCode>
                <c:ptCount val="8"/>
                <c:pt idx="0">
                  <c:v>40.390940000000001</c:v>
                </c:pt>
                <c:pt idx="1">
                  <c:v>51.746600000000001</c:v>
                </c:pt>
                <c:pt idx="2">
                  <c:v>61.909760000000006</c:v>
                </c:pt>
                <c:pt idx="3">
                  <c:v>65.692080000000004</c:v>
                </c:pt>
                <c:pt idx="4">
                  <c:v>68.185339999999997</c:v>
                </c:pt>
                <c:pt idx="5">
                  <c:v>71.148020000000002</c:v>
                </c:pt>
                <c:pt idx="6">
                  <c:v>72.961939999999998</c:v>
                </c:pt>
                <c:pt idx="7">
                  <c:v>73.581199999999995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4D-46F0-BCEF-F0B70925548E}"/>
            </c:ext>
          </c:extLst>
        </c:ser>
        <c:ser>
          <c:idx val="3"/>
          <c:order val="3"/>
          <c:tx>
            <c:strRef>
              <c:f>Searches!$I$3</c:f>
              <c:strCache>
                <c:ptCount val="1"/>
                <c:pt idx="0">
                  <c:v>std::unorderd_set find - O(1)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Searches!$I$5:$I$12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Searches!$J$5:$J$12</c:f>
              <c:numCache>
                <c:formatCode>General</c:formatCode>
                <c:ptCount val="8"/>
                <c:pt idx="0">
                  <c:v>22.856999999999999</c:v>
                </c:pt>
                <c:pt idx="1">
                  <c:v>21.308720000000001</c:v>
                </c:pt>
                <c:pt idx="2">
                  <c:v>22.27758</c:v>
                </c:pt>
                <c:pt idx="3">
                  <c:v>21.049500000000002</c:v>
                </c:pt>
                <c:pt idx="4">
                  <c:v>22.284960000000005</c:v>
                </c:pt>
                <c:pt idx="5">
                  <c:v>21.955020000000001</c:v>
                </c:pt>
                <c:pt idx="6">
                  <c:v>21.83306</c:v>
                </c:pt>
                <c:pt idx="7">
                  <c:v>21.936219999999999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4D-46F0-BCEF-F0B70925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7842767"/>
        <c:axId val="1767843727"/>
      </c:barChart>
      <c:catAx>
        <c:axId val="176784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43727"/>
        <c:crosses val="autoZero"/>
        <c:auto val="1"/>
        <c:lblAlgn val="ctr"/>
        <c:lblOffset val="100"/>
        <c:noMultiLvlLbl val="0"/>
      </c:catAx>
      <c:valAx>
        <c:axId val="17678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4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Access</a:t>
            </a:r>
            <a:r>
              <a:rPr lang="en-AU" baseline="0"/>
              <a:t> time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'Access Time'!$A$2:$H$2</c:f>
              <c:strCache>
                <c:ptCount val="1"/>
                <c:pt idx="0">
                  <c:v>Random Array Access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E7-458F-B145-6C713A65294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E7-458F-B145-6C713A6529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E7-458F-B145-6C713A65294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9E7-458F-B145-6C713A652949}"/>
              </c:ext>
            </c:extLst>
          </c:dPt>
          <c:cat>
            <c:strRef>
              <c:f>'Access Time'!$A$4:$A$7</c:f>
              <c:strCache>
                <c:ptCount val="4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RAM</c:v>
                </c:pt>
              </c:strCache>
            </c:strRef>
          </c:cat>
          <c:val>
            <c:numRef>
              <c:f>'Access Time'!$C$4:$C$7</c:f>
              <c:numCache>
                <c:formatCode>General</c:formatCode>
                <c:ptCount val="4"/>
                <c:pt idx="0">
                  <c:v>2.1089600000000002</c:v>
                </c:pt>
                <c:pt idx="1">
                  <c:v>3.2883140000000006</c:v>
                </c:pt>
                <c:pt idx="2">
                  <c:v>14.989859999999998</c:v>
                </c:pt>
                <c:pt idx="3">
                  <c:v>100.01662000000002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7-458F-B145-6C713A65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067663"/>
        <c:axId val="1978069103"/>
      </c:barChart>
      <c:catAx>
        <c:axId val="19780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69103"/>
        <c:crosses val="autoZero"/>
        <c:auto val="1"/>
        <c:lblAlgn val="ctr"/>
        <c:lblOffset val="100"/>
        <c:noMultiLvlLbl val="0"/>
      </c:catAx>
      <c:valAx>
        <c:axId val="197806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67663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13</xdr:row>
      <xdr:rowOff>26670</xdr:rowOff>
    </xdr:from>
    <xdr:to>
      <xdr:col>19</xdr:col>
      <xdr:colOff>472440</xdr:colOff>
      <xdr:row>38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848C52-1780-AA66-90CB-4B995FA47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0</xdr:row>
      <xdr:rowOff>179070</xdr:rowOff>
    </xdr:from>
    <xdr:to>
      <xdr:col>18</xdr:col>
      <xdr:colOff>137160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DF51E-7E75-F287-0458-42AA703F9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7A34-04B7-4AA0-B5F6-0E136DAFD382}">
  <dimension ref="A2:U39"/>
  <sheetViews>
    <sheetView zoomScale="94" workbookViewId="0">
      <selection activeCell="G39" sqref="G39"/>
    </sheetView>
  </sheetViews>
  <sheetFormatPr defaultRowHeight="15" x14ac:dyDescent="0.25"/>
  <cols>
    <col min="2" max="2" width="12" bestFit="1" customWidth="1"/>
    <col min="18" max="18" width="9.140625" bestFit="1" customWidth="1"/>
    <col min="19" max="19" width="19.42578125" bestFit="1" customWidth="1"/>
    <col min="20" max="20" width="16.7109375" bestFit="1" customWidth="1"/>
    <col min="21" max="21" width="12.42578125" bestFit="1" customWidth="1"/>
  </cols>
  <sheetData>
    <row r="2" spans="1:21" ht="15.75" thickBot="1" x14ac:dyDescent="0.3"/>
    <row r="3" spans="1:21" x14ac:dyDescent="0.25">
      <c r="A3" s="34" t="s">
        <v>11</v>
      </c>
      <c r="B3" s="35"/>
      <c r="C3" s="35"/>
      <c r="D3" s="35"/>
      <c r="E3" s="35"/>
      <c r="F3" s="35"/>
      <c r="G3" s="36"/>
      <c r="I3" s="37" t="s">
        <v>9</v>
      </c>
      <c r="J3" s="38"/>
      <c r="K3" s="38"/>
      <c r="L3" s="38"/>
      <c r="M3" s="38"/>
      <c r="N3" s="38"/>
      <c r="O3" s="39"/>
      <c r="Q3" s="46" t="s">
        <v>12</v>
      </c>
      <c r="R3" s="47"/>
      <c r="S3" s="47"/>
      <c r="T3" s="47"/>
      <c r="U3" s="48"/>
    </row>
    <row r="4" spans="1:21" x14ac:dyDescent="0.25">
      <c r="A4" s="2" t="s">
        <v>0</v>
      </c>
      <c r="B4" s="24" t="s">
        <v>4</v>
      </c>
      <c r="C4" s="24" t="s">
        <v>1</v>
      </c>
      <c r="D4" s="24" t="s">
        <v>2</v>
      </c>
      <c r="E4" s="24" t="s">
        <v>3</v>
      </c>
      <c r="F4" s="24" t="s">
        <v>5</v>
      </c>
      <c r="G4" s="6" t="s">
        <v>6</v>
      </c>
      <c r="I4" s="2" t="s">
        <v>0</v>
      </c>
      <c r="J4" s="24" t="s">
        <v>4</v>
      </c>
      <c r="K4" s="24" t="s">
        <v>1</v>
      </c>
      <c r="L4" s="24" t="s">
        <v>2</v>
      </c>
      <c r="M4" s="24" t="s">
        <v>3</v>
      </c>
      <c r="N4" s="24" t="s">
        <v>5</v>
      </c>
      <c r="O4" s="6" t="s">
        <v>6</v>
      </c>
      <c r="Q4" s="10" t="s">
        <v>0</v>
      </c>
      <c r="R4" s="29" t="s">
        <v>23</v>
      </c>
      <c r="S4" s="29" t="s">
        <v>25</v>
      </c>
      <c r="T4" s="29" t="s">
        <v>24</v>
      </c>
      <c r="U4" s="11" t="s">
        <v>26</v>
      </c>
    </row>
    <row r="5" spans="1:21" x14ac:dyDescent="0.25">
      <c r="A5" s="3">
        <v>8</v>
      </c>
      <c r="B5" s="1">
        <f>AVERAGE(C5:G5)</f>
        <v>8.4039800000000007</v>
      </c>
      <c r="C5" s="1">
        <v>8.2942800000000005</v>
      </c>
      <c r="D5" s="1">
        <v>9.2549200000000003</v>
      </c>
      <c r="E5" s="1">
        <v>8.8649900000000006</v>
      </c>
      <c r="F5">
        <v>8.6606699999999996</v>
      </c>
      <c r="G5" s="7">
        <v>6.9450399999999997</v>
      </c>
      <c r="I5" s="3">
        <v>8</v>
      </c>
      <c r="J5" s="1">
        <f>AVERAGE(K5:O5)</f>
        <v>22.856999999999999</v>
      </c>
      <c r="K5">
        <v>22.4069</v>
      </c>
      <c r="L5">
        <v>21.808399999999999</v>
      </c>
      <c r="M5">
        <v>22.311699999999998</v>
      </c>
      <c r="N5">
        <v>23.1767</v>
      </c>
      <c r="O5" s="7">
        <v>24.581299999999999</v>
      </c>
      <c r="Q5" s="12">
        <v>8</v>
      </c>
      <c r="R5" s="30">
        <f>J5</f>
        <v>22.856999999999999</v>
      </c>
      <c r="S5" s="30">
        <f t="shared" ref="S5:S12" si="0">B16</f>
        <v>13.261079999999998</v>
      </c>
      <c r="T5" s="30">
        <f t="shared" ref="T5:T12" si="1">B27</f>
        <v>40.390940000000001</v>
      </c>
      <c r="U5" s="14">
        <f>B5</f>
        <v>8.4039800000000007</v>
      </c>
    </row>
    <row r="6" spans="1:21" x14ac:dyDescent="0.25">
      <c r="A6" s="3">
        <v>16</v>
      </c>
      <c r="B6" s="1">
        <f t="shared" ref="B6:B12" si="2">AVERAGE(C6:G6)</f>
        <v>9.812424</v>
      </c>
      <c r="C6" s="1">
        <v>6.7941000000000003</v>
      </c>
      <c r="D6" s="1">
        <v>11.8957</v>
      </c>
      <c r="E6" s="1">
        <v>8.9861199999999997</v>
      </c>
      <c r="F6">
        <v>10.700799999999999</v>
      </c>
      <c r="G6" s="7">
        <v>10.6854</v>
      </c>
      <c r="I6" s="3">
        <v>16</v>
      </c>
      <c r="J6" s="1">
        <f t="shared" ref="J6:J12" si="3">AVERAGE(K6:O6)</f>
        <v>21.308720000000001</v>
      </c>
      <c r="K6">
        <v>21.999199999999998</v>
      </c>
      <c r="L6">
        <v>21.732800000000001</v>
      </c>
      <c r="M6">
        <v>17.124300000000002</v>
      </c>
      <c r="N6">
        <v>23.392700000000001</v>
      </c>
      <c r="O6" s="7">
        <v>22.294599999999999</v>
      </c>
      <c r="Q6" s="12">
        <v>16</v>
      </c>
      <c r="R6" s="30">
        <f t="shared" ref="R6:R12" si="4">J6</f>
        <v>21.308720000000001</v>
      </c>
      <c r="S6" s="30">
        <f t="shared" si="0"/>
        <v>15.185480000000002</v>
      </c>
      <c r="T6" s="30">
        <f t="shared" si="1"/>
        <v>51.746600000000001</v>
      </c>
      <c r="U6" s="14">
        <f t="shared" ref="U6:U12" si="5">B6</f>
        <v>9.812424</v>
      </c>
    </row>
    <row r="7" spans="1:21" x14ac:dyDescent="0.25">
      <c r="A7" s="3">
        <v>32</v>
      </c>
      <c r="B7" s="1">
        <f t="shared" si="2"/>
        <v>25.360410000000002</v>
      </c>
      <c r="C7" s="1">
        <v>9.0266500000000001</v>
      </c>
      <c r="D7" s="1">
        <v>26.682200000000002</v>
      </c>
      <c r="E7" s="1">
        <v>31.992799999999999</v>
      </c>
      <c r="F7">
        <v>11.6897</v>
      </c>
      <c r="G7" s="7">
        <v>47.410699999999999</v>
      </c>
      <c r="I7" s="3">
        <v>32</v>
      </c>
      <c r="J7" s="1">
        <f t="shared" si="3"/>
        <v>22.27758</v>
      </c>
      <c r="K7">
        <v>21.978200000000001</v>
      </c>
      <c r="L7">
        <v>22.126799999999999</v>
      </c>
      <c r="M7">
        <v>22.172000000000001</v>
      </c>
      <c r="N7">
        <v>23.145600000000002</v>
      </c>
      <c r="O7" s="7">
        <v>21.965299999999999</v>
      </c>
      <c r="Q7" s="12">
        <v>32</v>
      </c>
      <c r="R7" s="30">
        <f t="shared" si="4"/>
        <v>22.27758</v>
      </c>
      <c r="S7" s="30">
        <f t="shared" si="0"/>
        <v>17.720580000000002</v>
      </c>
      <c r="T7" s="30">
        <f t="shared" si="1"/>
        <v>61.909760000000006</v>
      </c>
      <c r="U7" s="14">
        <f t="shared" si="5"/>
        <v>25.360410000000002</v>
      </c>
    </row>
    <row r="8" spans="1:21" x14ac:dyDescent="0.25">
      <c r="A8" s="3">
        <v>64</v>
      </c>
      <c r="B8" s="1">
        <f t="shared" si="2"/>
        <v>49.677419999999998</v>
      </c>
      <c r="C8" s="1">
        <v>54.897799999999997</v>
      </c>
      <c r="D8" s="1">
        <v>51.369199999999999</v>
      </c>
      <c r="E8" s="1">
        <v>25.666899999999998</v>
      </c>
      <c r="F8">
        <v>105.004</v>
      </c>
      <c r="G8" s="7">
        <v>11.449199999999999</v>
      </c>
      <c r="I8" s="3">
        <v>64</v>
      </c>
      <c r="J8" s="1">
        <f t="shared" si="3"/>
        <v>21.049500000000002</v>
      </c>
      <c r="K8">
        <v>21.315300000000001</v>
      </c>
      <c r="L8">
        <v>21.9815</v>
      </c>
      <c r="M8">
        <v>21.906500000000001</v>
      </c>
      <c r="N8">
        <v>17.562799999999999</v>
      </c>
      <c r="O8" s="7">
        <v>22.481400000000001</v>
      </c>
      <c r="Q8" s="12">
        <v>64</v>
      </c>
      <c r="R8" s="30">
        <f t="shared" si="4"/>
        <v>21.049500000000002</v>
      </c>
      <c r="S8" s="30">
        <f t="shared" si="0"/>
        <v>26.592779999999998</v>
      </c>
      <c r="T8" s="30">
        <f t="shared" si="1"/>
        <v>65.692080000000004</v>
      </c>
      <c r="U8" s="14">
        <f t="shared" si="5"/>
        <v>49.677419999999998</v>
      </c>
    </row>
    <row r="9" spans="1:21" x14ac:dyDescent="0.25">
      <c r="A9" s="3">
        <v>128</v>
      </c>
      <c r="B9" s="1">
        <f t="shared" si="2"/>
        <v>78.944580000000002</v>
      </c>
      <c r="C9" s="1">
        <v>64.745800000000003</v>
      </c>
      <c r="D9" s="1">
        <v>44.065300000000001</v>
      </c>
      <c r="E9" s="1">
        <v>85.800799999999995</v>
      </c>
      <c r="F9">
        <v>163.02099999999999</v>
      </c>
      <c r="G9" s="7">
        <v>37.090000000000003</v>
      </c>
      <c r="I9" s="3">
        <v>128</v>
      </c>
      <c r="J9" s="1">
        <f t="shared" si="3"/>
        <v>22.284960000000005</v>
      </c>
      <c r="K9">
        <v>21.253299999999999</v>
      </c>
      <c r="L9">
        <v>21.8064</v>
      </c>
      <c r="M9">
        <v>21.818100000000001</v>
      </c>
      <c r="N9">
        <v>23.241700000000002</v>
      </c>
      <c r="O9" s="7">
        <v>23.305299999999999</v>
      </c>
      <c r="Q9" s="12">
        <v>128</v>
      </c>
      <c r="R9" s="30">
        <f t="shared" si="4"/>
        <v>22.284960000000005</v>
      </c>
      <c r="S9" s="30">
        <f t="shared" si="0"/>
        <v>27.129439999999999</v>
      </c>
      <c r="T9" s="30">
        <f t="shared" si="1"/>
        <v>68.185339999999997</v>
      </c>
      <c r="U9" s="14">
        <f t="shared" si="5"/>
        <v>78.944580000000002</v>
      </c>
    </row>
    <row r="10" spans="1:21" x14ac:dyDescent="0.25">
      <c r="A10" s="3">
        <v>256</v>
      </c>
      <c r="B10" s="1">
        <f t="shared" si="2"/>
        <v>161.36610000000002</v>
      </c>
      <c r="C10" s="1">
        <v>106.633</v>
      </c>
      <c r="D10" s="1">
        <v>177.88</v>
      </c>
      <c r="E10" s="1">
        <v>117.94199999999999</v>
      </c>
      <c r="F10">
        <v>320.447</v>
      </c>
      <c r="G10" s="7">
        <v>83.9285</v>
      </c>
      <c r="I10" s="3">
        <v>256</v>
      </c>
      <c r="J10" s="1">
        <f t="shared" si="3"/>
        <v>21.955020000000001</v>
      </c>
      <c r="K10">
        <v>21.774000000000001</v>
      </c>
      <c r="L10">
        <v>21.720800000000001</v>
      </c>
      <c r="M10">
        <v>22.0411</v>
      </c>
      <c r="N10">
        <v>22.865300000000001</v>
      </c>
      <c r="O10" s="7">
        <v>21.373899999999999</v>
      </c>
      <c r="Q10" s="12">
        <v>256</v>
      </c>
      <c r="R10" s="30">
        <f t="shared" si="4"/>
        <v>21.955020000000001</v>
      </c>
      <c r="S10" s="30">
        <f t="shared" si="0"/>
        <v>30.032080000000001</v>
      </c>
      <c r="T10" s="30">
        <f t="shared" si="1"/>
        <v>71.148020000000002</v>
      </c>
      <c r="U10" s="14">
        <f t="shared" si="5"/>
        <v>161.36610000000002</v>
      </c>
    </row>
    <row r="11" spans="1:21" x14ac:dyDescent="0.25">
      <c r="A11" s="3">
        <v>512</v>
      </c>
      <c r="B11" s="1">
        <f t="shared" si="2"/>
        <v>333.5018</v>
      </c>
      <c r="C11" s="1">
        <v>255.57900000000001</v>
      </c>
      <c r="D11" s="1">
        <v>170.00399999999999</v>
      </c>
      <c r="E11" s="1">
        <v>357.839</v>
      </c>
      <c r="F11">
        <v>438.73399999999998</v>
      </c>
      <c r="G11" s="7">
        <v>445.35300000000001</v>
      </c>
      <c r="I11" s="3">
        <v>512</v>
      </c>
      <c r="J11" s="1">
        <f t="shared" si="3"/>
        <v>21.83306</v>
      </c>
      <c r="K11">
        <v>21.724599999999999</v>
      </c>
      <c r="L11">
        <v>21.3627</v>
      </c>
      <c r="M11">
        <v>21.9618</v>
      </c>
      <c r="N11">
        <v>21.943899999999999</v>
      </c>
      <c r="O11" s="7">
        <v>22.1723</v>
      </c>
      <c r="Q11" s="12">
        <v>512</v>
      </c>
      <c r="R11" s="30">
        <f t="shared" si="4"/>
        <v>21.83306</v>
      </c>
      <c r="S11" s="30">
        <f t="shared" si="0"/>
        <v>34.328320000000005</v>
      </c>
      <c r="T11" s="30">
        <f t="shared" si="1"/>
        <v>72.961939999999998</v>
      </c>
      <c r="U11" s="14">
        <f t="shared" si="5"/>
        <v>333.5018</v>
      </c>
    </row>
    <row r="12" spans="1:21" ht="15.75" thickBot="1" x14ac:dyDescent="0.3">
      <c r="A12" s="4">
        <v>1024</v>
      </c>
      <c r="B12" s="5">
        <f t="shared" si="2"/>
        <v>492.76099999999997</v>
      </c>
      <c r="C12" s="5">
        <v>527.70100000000002</v>
      </c>
      <c r="D12" s="5">
        <v>537.6</v>
      </c>
      <c r="E12" s="5">
        <v>590.67399999999998</v>
      </c>
      <c r="F12" s="8">
        <v>163.19900000000001</v>
      </c>
      <c r="G12" s="9">
        <v>644.63099999999997</v>
      </c>
      <c r="I12" s="4">
        <v>1024</v>
      </c>
      <c r="J12" s="5">
        <f t="shared" si="3"/>
        <v>21.936219999999999</v>
      </c>
      <c r="K12" s="8">
        <v>22.267199999999999</v>
      </c>
      <c r="L12" s="8">
        <v>22.251899999999999</v>
      </c>
      <c r="M12" s="8">
        <v>21.993099999999998</v>
      </c>
      <c r="N12" s="8">
        <v>22.440100000000001</v>
      </c>
      <c r="O12" s="9">
        <v>20.7288</v>
      </c>
      <c r="Q12" s="13">
        <v>1024</v>
      </c>
      <c r="R12" s="15">
        <f t="shared" si="4"/>
        <v>21.936219999999999</v>
      </c>
      <c r="S12" s="15">
        <f t="shared" si="0"/>
        <v>35.497059999999998</v>
      </c>
      <c r="T12" s="15">
        <f t="shared" si="1"/>
        <v>73.581199999999995</v>
      </c>
      <c r="U12" s="16">
        <f t="shared" si="5"/>
        <v>492.76099999999997</v>
      </c>
    </row>
    <row r="13" spans="1:21" ht="15.75" thickBot="1" x14ac:dyDescent="0.3">
      <c r="A13" s="1"/>
      <c r="B13" s="1"/>
      <c r="C13" s="1"/>
      <c r="D13" s="1"/>
      <c r="E13" s="1"/>
    </row>
    <row r="14" spans="1:21" x14ac:dyDescent="0.25">
      <c r="A14" s="43" t="s">
        <v>7</v>
      </c>
      <c r="B14" s="44"/>
      <c r="C14" s="44"/>
      <c r="D14" s="44"/>
      <c r="E14" s="44"/>
      <c r="F14" s="44"/>
      <c r="G14" s="45"/>
    </row>
    <row r="15" spans="1:21" x14ac:dyDescent="0.25">
      <c r="A15" s="2" t="s">
        <v>0</v>
      </c>
      <c r="B15" s="24" t="s">
        <v>4</v>
      </c>
      <c r="C15" s="24" t="s">
        <v>1</v>
      </c>
      <c r="D15" s="24" t="s">
        <v>2</v>
      </c>
      <c r="E15" s="24" t="s">
        <v>3</v>
      </c>
      <c r="F15" s="24" t="s">
        <v>5</v>
      </c>
      <c r="G15" s="6" t="s">
        <v>6</v>
      </c>
    </row>
    <row r="16" spans="1:21" x14ac:dyDescent="0.25">
      <c r="A16" s="3">
        <v>8</v>
      </c>
      <c r="B16" s="1">
        <f>AVERAGE(C16:G16)</f>
        <v>13.261079999999998</v>
      </c>
      <c r="C16">
        <v>12.249000000000001</v>
      </c>
      <c r="D16">
        <v>12.793900000000001</v>
      </c>
      <c r="E16">
        <v>14.0152</v>
      </c>
      <c r="F16">
        <v>14.4406</v>
      </c>
      <c r="G16" s="7">
        <v>12.806699999999999</v>
      </c>
    </row>
    <row r="17" spans="1:7" x14ac:dyDescent="0.25">
      <c r="A17" s="3">
        <v>16</v>
      </c>
      <c r="B17" s="1">
        <f t="shared" ref="B17:B23" si="6">AVERAGE(C17:G17)</f>
        <v>15.185480000000002</v>
      </c>
      <c r="C17">
        <v>14.6595</v>
      </c>
      <c r="D17">
        <v>14.2713</v>
      </c>
      <c r="E17">
        <v>15.3164</v>
      </c>
      <c r="F17">
        <v>16.303699999999999</v>
      </c>
      <c r="G17" s="7">
        <v>15.3765</v>
      </c>
    </row>
    <row r="18" spans="1:7" x14ac:dyDescent="0.25">
      <c r="A18" s="3">
        <v>32</v>
      </c>
      <c r="B18" s="1">
        <f t="shared" si="6"/>
        <v>17.720580000000002</v>
      </c>
      <c r="C18">
        <v>17.14</v>
      </c>
      <c r="D18">
        <v>17.7258</v>
      </c>
      <c r="E18">
        <v>17.198699999999999</v>
      </c>
      <c r="F18">
        <v>18.599900000000002</v>
      </c>
      <c r="G18" s="7">
        <v>17.938500000000001</v>
      </c>
    </row>
    <row r="19" spans="1:7" x14ac:dyDescent="0.25">
      <c r="A19" s="3">
        <v>64</v>
      </c>
      <c r="B19" s="1">
        <f t="shared" si="6"/>
        <v>26.592779999999998</v>
      </c>
      <c r="C19">
        <v>20.2849</v>
      </c>
      <c r="D19">
        <v>20.5639</v>
      </c>
      <c r="E19">
        <v>18.6935</v>
      </c>
      <c r="F19">
        <v>34.4604</v>
      </c>
      <c r="G19" s="7">
        <v>38.961199999999998</v>
      </c>
    </row>
    <row r="20" spans="1:7" x14ac:dyDescent="0.25">
      <c r="A20" s="3">
        <v>128</v>
      </c>
      <c r="B20" s="1">
        <f t="shared" si="6"/>
        <v>27.129439999999999</v>
      </c>
      <c r="C20">
        <v>21.392700000000001</v>
      </c>
      <c r="D20">
        <v>22.096900000000002</v>
      </c>
      <c r="E20">
        <v>22.0364</v>
      </c>
      <c r="F20">
        <v>22.5075</v>
      </c>
      <c r="G20" s="7">
        <v>47.613700000000001</v>
      </c>
    </row>
    <row r="21" spans="1:7" x14ac:dyDescent="0.25">
      <c r="A21" s="3">
        <v>256</v>
      </c>
      <c r="B21" s="1">
        <f t="shared" si="6"/>
        <v>30.032080000000001</v>
      </c>
      <c r="C21">
        <v>23.831900000000001</v>
      </c>
      <c r="D21">
        <v>25.935700000000001</v>
      </c>
      <c r="E21">
        <v>24.5093</v>
      </c>
      <c r="F21">
        <v>25.1282</v>
      </c>
      <c r="G21" s="7">
        <v>50.755299999999998</v>
      </c>
    </row>
    <row r="22" spans="1:7" x14ac:dyDescent="0.25">
      <c r="A22" s="3">
        <v>512</v>
      </c>
      <c r="B22" s="1">
        <f t="shared" si="6"/>
        <v>34.328320000000005</v>
      </c>
      <c r="C22">
        <v>26.5427</v>
      </c>
      <c r="D22">
        <v>27.209800000000001</v>
      </c>
      <c r="E22">
        <v>26.632400000000001</v>
      </c>
      <c r="F22">
        <v>28.5275</v>
      </c>
      <c r="G22" s="7">
        <v>62.729199999999999</v>
      </c>
    </row>
    <row r="23" spans="1:7" ht="15.75" thickBot="1" x14ac:dyDescent="0.3">
      <c r="A23" s="4">
        <v>1024</v>
      </c>
      <c r="B23" s="5">
        <f t="shared" si="6"/>
        <v>35.497059999999998</v>
      </c>
      <c r="C23" s="8">
        <v>29.0884</v>
      </c>
      <c r="D23" s="8">
        <v>29.7927</v>
      </c>
      <c r="E23" s="8">
        <v>28.984300000000001</v>
      </c>
      <c r="F23" s="8">
        <v>30.157399999999999</v>
      </c>
      <c r="G23" s="9">
        <v>59.462499999999999</v>
      </c>
    </row>
    <row r="24" spans="1:7" ht="15.75" thickBot="1" x14ac:dyDescent="0.3"/>
    <row r="25" spans="1:7" x14ac:dyDescent="0.25">
      <c r="A25" s="40" t="s">
        <v>8</v>
      </c>
      <c r="B25" s="41"/>
      <c r="C25" s="41"/>
      <c r="D25" s="41"/>
      <c r="E25" s="41"/>
      <c r="F25" s="41"/>
      <c r="G25" s="42"/>
    </row>
    <row r="26" spans="1:7" x14ac:dyDescent="0.25">
      <c r="A26" s="2" t="s">
        <v>0</v>
      </c>
      <c r="B26" s="24" t="s">
        <v>4</v>
      </c>
      <c r="C26" s="24" t="s">
        <v>1</v>
      </c>
      <c r="D26" s="24" t="s">
        <v>2</v>
      </c>
      <c r="E26" s="24" t="s">
        <v>3</v>
      </c>
      <c r="F26" s="24" t="s">
        <v>5</v>
      </c>
      <c r="G26" s="6" t="s">
        <v>6</v>
      </c>
    </row>
    <row r="27" spans="1:7" x14ac:dyDescent="0.25">
      <c r="A27" s="3">
        <v>8</v>
      </c>
      <c r="B27" s="1">
        <f>AVERAGE(C27:G27)</f>
        <v>40.390940000000001</v>
      </c>
      <c r="C27">
        <v>44.999200000000002</v>
      </c>
      <c r="D27">
        <v>36.922899999999998</v>
      </c>
      <c r="E27">
        <v>46.383000000000003</v>
      </c>
      <c r="F27">
        <v>35.8992</v>
      </c>
      <c r="G27" s="7">
        <v>37.750399999999999</v>
      </c>
    </row>
    <row r="28" spans="1:7" x14ac:dyDescent="0.25">
      <c r="A28" s="3">
        <v>16</v>
      </c>
      <c r="B28" s="1">
        <f t="shared" ref="B28:B34" si="7">AVERAGE(C28:G28)</f>
        <v>51.746600000000001</v>
      </c>
      <c r="C28">
        <v>53.283299999999997</v>
      </c>
      <c r="D28">
        <v>55.769599999999997</v>
      </c>
      <c r="E28">
        <v>46.342199999999998</v>
      </c>
      <c r="F28">
        <v>51.035400000000003</v>
      </c>
      <c r="G28" s="7">
        <v>52.302500000000002</v>
      </c>
    </row>
    <row r="29" spans="1:7" x14ac:dyDescent="0.25">
      <c r="A29" s="3">
        <v>32</v>
      </c>
      <c r="B29" s="1">
        <f t="shared" si="7"/>
        <v>61.909760000000006</v>
      </c>
      <c r="C29">
        <v>59.773499999999999</v>
      </c>
      <c r="D29">
        <v>63.592599999999997</v>
      </c>
      <c r="E29">
        <v>82.158100000000005</v>
      </c>
      <c r="F29">
        <v>54.6723</v>
      </c>
      <c r="G29" s="7">
        <v>49.3523</v>
      </c>
    </row>
    <row r="30" spans="1:7" x14ac:dyDescent="0.25">
      <c r="A30" s="3">
        <v>64</v>
      </c>
      <c r="B30" s="1">
        <f t="shared" si="7"/>
        <v>65.692080000000004</v>
      </c>
      <c r="C30">
        <v>53.6509</v>
      </c>
      <c r="D30">
        <v>57.485700000000001</v>
      </c>
      <c r="E30">
        <v>116.93899999999999</v>
      </c>
      <c r="F30">
        <v>52.0837</v>
      </c>
      <c r="G30" s="7">
        <v>48.301099999999998</v>
      </c>
    </row>
    <row r="31" spans="1:7" x14ac:dyDescent="0.25">
      <c r="A31" s="3">
        <v>128</v>
      </c>
      <c r="B31" s="1">
        <f t="shared" si="7"/>
        <v>68.185339999999997</v>
      </c>
      <c r="C31">
        <v>67.2851</v>
      </c>
      <c r="D31">
        <v>57.936199999999999</v>
      </c>
      <c r="E31">
        <v>86.977199999999996</v>
      </c>
      <c r="F31">
        <v>54.561</v>
      </c>
      <c r="G31" s="7">
        <v>74.167199999999994</v>
      </c>
    </row>
    <row r="32" spans="1:7" x14ac:dyDescent="0.25">
      <c r="A32" s="3">
        <v>256</v>
      </c>
      <c r="B32" s="1">
        <f t="shared" si="7"/>
        <v>71.148020000000002</v>
      </c>
      <c r="C32">
        <v>72.858999999999995</v>
      </c>
      <c r="D32">
        <v>57.9206</v>
      </c>
      <c r="E32">
        <v>103.224</v>
      </c>
      <c r="F32">
        <v>63.065199999999997</v>
      </c>
      <c r="G32" s="7">
        <v>58.671300000000002</v>
      </c>
    </row>
    <row r="33" spans="1:7" x14ac:dyDescent="0.25">
      <c r="A33" s="3">
        <v>512</v>
      </c>
      <c r="B33" s="1">
        <f t="shared" si="7"/>
        <v>72.961939999999998</v>
      </c>
      <c r="C33">
        <v>65.100399999999993</v>
      </c>
      <c r="D33">
        <v>66.180999999999997</v>
      </c>
      <c r="E33">
        <v>83.810299999999998</v>
      </c>
      <c r="F33">
        <v>74.008700000000005</v>
      </c>
      <c r="G33" s="7">
        <v>75.709299999999999</v>
      </c>
    </row>
    <row r="34" spans="1:7" ht="15.75" thickBot="1" x14ac:dyDescent="0.3">
      <c r="A34" s="4">
        <v>1024</v>
      </c>
      <c r="B34" s="5">
        <f t="shared" si="7"/>
        <v>73.581199999999995</v>
      </c>
      <c r="C34" s="8">
        <v>72.337000000000003</v>
      </c>
      <c r="D34" s="8">
        <v>68.7286</v>
      </c>
      <c r="E34" s="8">
        <v>79.677700000000002</v>
      </c>
      <c r="F34" s="8">
        <v>70.147099999999995</v>
      </c>
      <c r="G34" s="9">
        <v>77.015600000000006</v>
      </c>
    </row>
    <row r="39" spans="1:7" x14ac:dyDescent="0.25">
      <c r="G39" t="s">
        <v>10</v>
      </c>
    </row>
  </sheetData>
  <mergeCells count="5">
    <mergeCell ref="A3:G3"/>
    <mergeCell ref="I3:O3"/>
    <mergeCell ref="A25:G25"/>
    <mergeCell ref="A14:G14"/>
    <mergeCell ref="Q3:U3"/>
  </mergeCells>
  <conditionalFormatting sqref="R5:U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U1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U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:U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:U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:U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:U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:U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:U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9840-7E37-4FD1-A0E2-025D3F8BA986}">
  <dimension ref="A1:H30"/>
  <sheetViews>
    <sheetView tabSelected="1" zoomScaleNormal="100" workbookViewId="0">
      <selection activeCell="S41" sqref="S41"/>
    </sheetView>
  </sheetViews>
  <sheetFormatPr defaultRowHeight="15" x14ac:dyDescent="0.25"/>
  <cols>
    <col min="1" max="1" width="8" bestFit="1" customWidth="1"/>
    <col min="2" max="2" width="6.5703125" bestFit="1" customWidth="1"/>
    <col min="3" max="3" width="11" customWidth="1"/>
    <col min="4" max="8" width="6.42578125" style="1" bestFit="1" customWidth="1"/>
  </cols>
  <sheetData>
    <row r="1" spans="1:8" ht="15.75" thickBot="1" x14ac:dyDescent="0.3"/>
    <row r="2" spans="1:8" x14ac:dyDescent="0.25">
      <c r="A2" s="31" t="s">
        <v>14</v>
      </c>
      <c r="B2" s="32"/>
      <c r="C2" s="32"/>
      <c r="D2" s="32"/>
      <c r="E2" s="32"/>
      <c r="F2" s="32"/>
      <c r="G2" s="32"/>
      <c r="H2" s="33"/>
    </row>
    <row r="3" spans="1:8" x14ac:dyDescent="0.25">
      <c r="A3" s="18" t="s">
        <v>22</v>
      </c>
      <c r="B3" s="19" t="s">
        <v>0</v>
      </c>
      <c r="C3" s="19" t="s">
        <v>4</v>
      </c>
      <c r="D3" s="20" t="s">
        <v>1</v>
      </c>
      <c r="E3" s="20" t="s">
        <v>2</v>
      </c>
      <c r="F3" s="20" t="s">
        <v>3</v>
      </c>
      <c r="G3" s="20" t="s">
        <v>5</v>
      </c>
      <c r="H3" s="21" t="s">
        <v>6</v>
      </c>
    </row>
    <row r="4" spans="1:8" x14ac:dyDescent="0.25">
      <c r="A4" s="25" t="s">
        <v>18</v>
      </c>
      <c r="B4" t="s">
        <v>13</v>
      </c>
      <c r="C4" s="1">
        <f>AVERAGE(D4:H4)</f>
        <v>2.1089600000000002</v>
      </c>
      <c r="D4" s="1">
        <v>2.10039</v>
      </c>
      <c r="E4" s="1">
        <v>2.12622</v>
      </c>
      <c r="F4" s="1">
        <v>2.1176599999999999</v>
      </c>
      <c r="G4" s="1">
        <v>2.1197900000000001</v>
      </c>
      <c r="H4" s="22">
        <v>2.08074</v>
      </c>
    </row>
    <row r="5" spans="1:8" x14ac:dyDescent="0.25">
      <c r="A5" s="26" t="s">
        <v>19</v>
      </c>
      <c r="B5" t="s">
        <v>15</v>
      </c>
      <c r="C5" s="1">
        <f>AVERAGE(D5:H5)</f>
        <v>3.2883140000000006</v>
      </c>
      <c r="D5" s="1">
        <v>3.3176800000000002</v>
      </c>
      <c r="E5" s="1">
        <v>3.21225</v>
      </c>
      <c r="F5" s="1">
        <v>3.2563599999999999</v>
      </c>
      <c r="G5" s="1">
        <v>3.43241</v>
      </c>
      <c r="H5" s="22">
        <v>3.2228699999999999</v>
      </c>
    </row>
    <row r="6" spans="1:8" x14ac:dyDescent="0.25">
      <c r="A6" s="27" t="s">
        <v>20</v>
      </c>
      <c r="B6" s="1" t="s">
        <v>16</v>
      </c>
      <c r="C6" s="1">
        <f>AVERAGE(D6:H6)</f>
        <v>14.989859999999998</v>
      </c>
      <c r="D6" s="1">
        <v>21.845600000000001</v>
      </c>
      <c r="E6" s="1">
        <v>12.3703</v>
      </c>
      <c r="F6" s="1">
        <v>13.0207</v>
      </c>
      <c r="G6" s="1">
        <v>15.080399999999999</v>
      </c>
      <c r="H6" s="22">
        <v>12.632300000000001</v>
      </c>
    </row>
    <row r="7" spans="1:8" ht="15.75" thickBot="1" x14ac:dyDescent="0.3">
      <c r="A7" s="28" t="s">
        <v>21</v>
      </c>
      <c r="B7" s="5" t="s">
        <v>17</v>
      </c>
      <c r="C7" s="5">
        <f>AVERAGE(D7:H7)</f>
        <v>100.01662000000002</v>
      </c>
      <c r="D7" s="5">
        <v>113.196</v>
      </c>
      <c r="E7" s="5">
        <v>110.298</v>
      </c>
      <c r="F7" s="5">
        <v>79.442300000000003</v>
      </c>
      <c r="G7" s="5">
        <v>110.401</v>
      </c>
      <c r="H7" s="23">
        <v>86.745800000000003</v>
      </c>
    </row>
    <row r="8" spans="1:8" x14ac:dyDescent="0.25">
      <c r="B8" s="1"/>
      <c r="C8" s="17"/>
    </row>
    <row r="9" spans="1:8" x14ac:dyDescent="0.25">
      <c r="B9" s="1"/>
      <c r="C9" s="17"/>
    </row>
    <row r="10" spans="1:8" x14ac:dyDescent="0.25">
      <c r="B10" s="1"/>
      <c r="C10" s="17"/>
    </row>
    <row r="11" spans="1:8" x14ac:dyDescent="0.25">
      <c r="B11" s="1"/>
      <c r="C11" s="17"/>
    </row>
    <row r="12" spans="1:8" x14ac:dyDescent="0.25">
      <c r="B12" s="1"/>
      <c r="C12" s="17"/>
    </row>
    <row r="13" spans="1:8" x14ac:dyDescent="0.25">
      <c r="B13" s="1"/>
      <c r="C13" s="17"/>
    </row>
    <row r="14" spans="1:8" x14ac:dyDescent="0.25">
      <c r="B14" s="1"/>
      <c r="C14" s="17"/>
    </row>
    <row r="15" spans="1:8" x14ac:dyDescent="0.25">
      <c r="B15" s="1"/>
      <c r="C15" s="17"/>
    </row>
    <row r="16" spans="1:8" x14ac:dyDescent="0.25">
      <c r="B16" s="1"/>
      <c r="C16" s="17"/>
    </row>
    <row r="17" spans="2:4" x14ac:dyDescent="0.25">
      <c r="B17" s="1"/>
      <c r="C17" s="17"/>
      <c r="D17" s="17"/>
    </row>
    <row r="18" spans="2:4" x14ac:dyDescent="0.25">
      <c r="B18" s="1"/>
      <c r="C18" s="17"/>
      <c r="D18" s="17"/>
    </row>
    <row r="19" spans="2:4" x14ac:dyDescent="0.25">
      <c r="B19" s="1"/>
      <c r="C19" s="17"/>
      <c r="D19" s="17"/>
    </row>
    <row r="20" spans="2:4" x14ac:dyDescent="0.25">
      <c r="B20" s="1"/>
      <c r="C20" s="17"/>
      <c r="D20" s="17"/>
    </row>
    <row r="21" spans="2:4" x14ac:dyDescent="0.25">
      <c r="B21" s="1"/>
      <c r="C21" s="17"/>
      <c r="D21" s="17"/>
    </row>
    <row r="22" spans="2:4" x14ac:dyDescent="0.25">
      <c r="B22" s="1"/>
      <c r="C22" s="17"/>
      <c r="D22" s="17"/>
    </row>
    <row r="23" spans="2:4" x14ac:dyDescent="0.25">
      <c r="B23" s="1"/>
      <c r="C23" s="17"/>
      <c r="D23" s="17"/>
    </row>
    <row r="24" spans="2:4" x14ac:dyDescent="0.25">
      <c r="B24" s="1"/>
      <c r="C24" s="17"/>
      <c r="D24" s="17"/>
    </row>
    <row r="25" spans="2:4" x14ac:dyDescent="0.25">
      <c r="B25" s="1"/>
      <c r="C25" s="17"/>
      <c r="D25" s="17"/>
    </row>
    <row r="26" spans="2:4" x14ac:dyDescent="0.25">
      <c r="B26" s="1"/>
      <c r="C26" s="17"/>
      <c r="D26" s="17"/>
    </row>
    <row r="27" spans="2:4" x14ac:dyDescent="0.25">
      <c r="B27" s="1"/>
      <c r="C27" s="17"/>
      <c r="D27" s="17"/>
    </row>
    <row r="28" spans="2:4" x14ac:dyDescent="0.25">
      <c r="B28" s="1"/>
      <c r="C28" s="17"/>
      <c r="D28" s="17"/>
    </row>
    <row r="29" spans="2:4" x14ac:dyDescent="0.25">
      <c r="B29" s="1"/>
      <c r="C29" s="17"/>
      <c r="D29" s="17"/>
    </row>
    <row r="30" spans="2:4" x14ac:dyDescent="0.25">
      <c r="B30" s="1"/>
      <c r="C30" s="17"/>
      <c r="D30" s="17"/>
    </row>
  </sheetData>
  <mergeCells count="1">
    <mergeCell ref="A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Searches</vt:lpstr>
      <vt:lpstr>Access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Farrell</dc:creator>
  <cp:lastModifiedBy>Harrison Farrell</cp:lastModifiedBy>
  <dcterms:created xsi:type="dcterms:W3CDTF">2026-02-08T03:51:26Z</dcterms:created>
  <dcterms:modified xsi:type="dcterms:W3CDTF">2026-02-14T02:10:34Z</dcterms:modified>
</cp:coreProperties>
</file>